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0E520365-0DEB-46CE-ADC5-7F341B420FA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Leads Export" sheetId="1" r:id="rId1"/>
  </sheets>
  <definedNames>
    <definedName name="_xlnm._FilterDatabase" localSheetId="0" hidden="1">'Leads Export'!$B$1:$AA$14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1" l="1"/>
  <c r="Z18" i="1"/>
</calcChain>
</file>

<file path=xl/sharedStrings.xml><?xml version="1.0" encoding="utf-8"?>
<sst xmlns="http://schemas.openxmlformats.org/spreadsheetml/2006/main" count="276" uniqueCount="171">
  <si>
    <t>ACT N0</t>
  </si>
  <si>
    <t>APELLIDOS Y NOMBRE</t>
  </si>
  <si>
    <t>INSTALADOR</t>
  </si>
  <si>
    <t>DNI</t>
  </si>
  <si>
    <t>DIRECCION</t>
  </si>
  <si>
    <t>MUNICIPIO</t>
  </si>
  <si>
    <t>PROVINCIA</t>
  </si>
  <si>
    <t>COMUNIDAD AUTÓNOMA</t>
  </si>
  <si>
    <t>FICHA</t>
  </si>
  <si>
    <t>REFERENCIA CATASTRAL</t>
  </si>
  <si>
    <t>COORDENADAS UTM</t>
  </si>
  <si>
    <t>TELEFONO</t>
  </si>
  <si>
    <t>EMAIL</t>
  </si>
  <si>
    <t>ZONA CLIMÁTICA</t>
  </si>
  <si>
    <t>SUPERFICIE</t>
  </si>
  <si>
    <t>FECHA INICIO ACTUACIÓN</t>
  </si>
  <si>
    <t>FECHA FIN DE LA ACTUACIÓN</t>
  </si>
  <si>
    <t>VIDA ÚTIL</t>
  </si>
  <si>
    <t>ELEMENTO AFECTADO</t>
  </si>
  <si>
    <t>UI</t>
  </si>
  <si>
    <t>UF</t>
  </si>
  <si>
    <t>B</t>
  </si>
  <si>
    <t>TIPO BAJO CUBIERTA</t>
  </si>
  <si>
    <t>MATERAL UTILIZADO</t>
  </si>
  <si>
    <t>ESPESOR</t>
  </si>
  <si>
    <t>AHORRO</t>
  </si>
  <si>
    <t>CONTRAPRESTACIÓN</t>
  </si>
  <si>
    <t>RABANAL ALONSO ANGELES</t>
  </si>
  <si>
    <t>ECORENOVA PALACE</t>
  </si>
  <si>
    <t>09536786-C</t>
  </si>
  <si>
    <t>PZ IGLESIA 2(D) CARROCERA 24123</t>
  </si>
  <si>
    <t>CARROCERA</t>
  </si>
  <si>
    <t>castilla_y_leon</t>
  </si>
  <si>
    <t>RES0020</t>
  </si>
  <si>
    <t>5720302TN7452S0001KJ</t>
  </si>
  <si>
    <t>30, X: 275624.89, Y: 4741864.43</t>
  </si>
  <si>
    <t>647824551</t>
  </si>
  <si>
    <t>rosrabanal@gmail.com</t>
  </si>
  <si>
    <t>23/10/2025</t>
  </si>
  <si>
    <t>AISLAMIENTO DE LA CUBIERTA</t>
  </si>
  <si>
    <t>HORMIGON ARMADO</t>
  </si>
  <si>
    <t>ISOLENE4 (39cm)</t>
  </si>
  <si>
    <t>VALCARCE MUÑIZ MARTA</t>
  </si>
  <si>
    <t>09784027B</t>
  </si>
  <si>
    <t>CL NAZARET 26 Leon 24008</t>
  </si>
  <si>
    <t xml:space="preserve">León </t>
  </si>
  <si>
    <t>Leon</t>
  </si>
  <si>
    <t>9114486TN8291S0001EK</t>
  </si>
  <si>
    <t>30, X: 289049.06, Y: 4721171.33</t>
  </si>
  <si>
    <t>680861753</t>
  </si>
  <si>
    <t>mariamarmu56@gmail.com</t>
  </si>
  <si>
    <t>16/10/2025</t>
  </si>
  <si>
    <t>KNAUF SUPAFIL LOFT (22cm)</t>
  </si>
  <si>
    <t>ALLER GONZALEZ VICENTE</t>
  </si>
  <si>
    <t>09675506G</t>
  </si>
  <si>
    <t>CL RAMON Y CAJAL-TB 10 ONZONILLA 24347</t>
  </si>
  <si>
    <t>ONZONILLA</t>
  </si>
  <si>
    <t>9819227TN8191N0001OT</t>
  </si>
  <si>
    <t>30, X: 289712.83, Y: 4711603.23</t>
  </si>
  <si>
    <t>609768668</t>
  </si>
  <si>
    <t>vicenteallergonzalez@gmail.com</t>
  </si>
  <si>
    <t>MADERA Y YESO</t>
  </si>
  <si>
    <t>KNAUF SUPAFIL LOFT (39cm)</t>
  </si>
  <si>
    <t>FERRERO PEREZ EVENCIO</t>
  </si>
  <si>
    <t>10153878E</t>
  </si>
  <si>
    <t>CL REGUERON 1 POBLADURA DE PELAYO GARCIA 24249</t>
  </si>
  <si>
    <t>POBLADURA DE PELAYO GARCIA (POBLADURA PE) (LEÓN)</t>
  </si>
  <si>
    <t>POBLADURA DE PELAYO GARCIA</t>
  </si>
  <si>
    <t>8873408TM7887S0001ZR</t>
  </si>
  <si>
    <t>30, X: 278749.72, Y: 4687167.32</t>
  </si>
  <si>
    <t>615364417</t>
  </si>
  <si>
    <t>evencioferrero0@gmail.com</t>
  </si>
  <si>
    <t>15/10/2025</t>
  </si>
  <si>
    <t>URSA SOUFL'R47 (22cm)</t>
  </si>
  <si>
    <t>VERGARA FERNANDEZ ROBERTO</t>
  </si>
  <si>
    <t>09799432Y</t>
  </si>
  <si>
    <t>CL SILO 10 BOÑAR 24850</t>
  </si>
  <si>
    <t>BOÑAR</t>
  </si>
  <si>
    <t>0788205UN1408N0001LO</t>
  </si>
  <si>
    <t>30, X: 310670.65, Y: 4748593.63</t>
  </si>
  <si>
    <t>647626247</t>
  </si>
  <si>
    <t>robertoverfer@hotmail.com</t>
  </si>
  <si>
    <t>GONZALEZ BARRIOLUENGO FLORA</t>
  </si>
  <si>
    <t>71388534F</t>
  </si>
  <si>
    <t>AV AVIACION-VC 11 VALVERDE DE LA VIRGEN 24198</t>
  </si>
  <si>
    <t>VALVERDE DE LA VIRGEN (VIRGEN CAMINO)</t>
  </si>
  <si>
    <t>VALVERDE DE LA VIRGEN</t>
  </si>
  <si>
    <t>3580501TN8138S0001PH</t>
  </si>
  <si>
    <t>30, X: 283373.80, Y: 4717772.49</t>
  </si>
  <si>
    <t>606289665</t>
  </si>
  <si>
    <t>NORENA GARCIA MANUELA</t>
  </si>
  <si>
    <t>RMAX NEW</t>
  </si>
  <si>
    <t>07823770K</t>
  </si>
  <si>
    <t>ED PLAZA TOROS 1(D) Cordovilla 37337</t>
  </si>
  <si>
    <t xml:space="preserve">CORDOVILLA </t>
  </si>
  <si>
    <t>Cordovilla</t>
  </si>
  <si>
    <t>7562313TL9376S0001YD</t>
  </si>
  <si>
    <t>30, X: 297426.22, Y: 4535998.77</t>
  </si>
  <si>
    <t>690860120</t>
  </si>
  <si>
    <t>Teixeira Arnaiz Josue</t>
  </si>
  <si>
    <t>71943422C</t>
  </si>
  <si>
    <t>CL NUMANCIA 71 Herrera de Valdecañas 34259</t>
  </si>
  <si>
    <t>HERRERA DE VALDECAÑAS</t>
  </si>
  <si>
    <t>Herrera de Valdecañas</t>
  </si>
  <si>
    <t>0859108VM0505N0001EK</t>
  </si>
  <si>
    <t>30, X: 400702.49, Y: 4655687.42</t>
  </si>
  <si>
    <t>608642000</t>
  </si>
  <si>
    <t>josueteixeiraarnaiz@hotmail.com</t>
  </si>
  <si>
    <t>GUTIERREZ BENITO MARIA ESTHER</t>
  </si>
  <si>
    <t>09315519J</t>
  </si>
  <si>
    <t>PLAZA MAYOR 19 VILLAN DE TORDESILLAS 47131</t>
  </si>
  <si>
    <t>VILLAN DE TORDESILLAS</t>
  </si>
  <si>
    <t>9966506UM3096N0001GM</t>
  </si>
  <si>
    <t>30, X: 339822.01, Y: 4606374.38</t>
  </si>
  <si>
    <t>666505252</t>
  </si>
  <si>
    <t>09/10/2025</t>
  </si>
  <si>
    <t>ALLER LOPEZ GRATINIANO</t>
  </si>
  <si>
    <t>09669284S</t>
  </si>
  <si>
    <t>CL CORNEJAL-GR 41 VEGA DE INFANZONES 24346</t>
  </si>
  <si>
    <t>VEGA DE INFANZONES (GRULLEROS-GR) (LEÓN)</t>
  </si>
  <si>
    <t>VEGA DE INFANZONES</t>
  </si>
  <si>
    <t>RES0010</t>
  </si>
  <si>
    <t>0592908TN9009S0001ET</t>
  </si>
  <si>
    <t>30, X: 290441.54, Y: 4708975.98</t>
  </si>
  <si>
    <t>648714962</t>
  </si>
  <si>
    <t>grati14aller@gmail.com</t>
  </si>
  <si>
    <t>22/10/2025</t>
  </si>
  <si>
    <t>URSA SOUFL'R47 (38cm)</t>
  </si>
  <si>
    <t>GARCIA GARCIA PAULINO</t>
  </si>
  <si>
    <t>09661112P</t>
  </si>
  <si>
    <t>LG MEIZARA-ME 1008 CHOZAS DE ABAJO 24250</t>
  </si>
  <si>
    <t>CHOZAS DE ABAJO (MEIZARA-ME)</t>
  </si>
  <si>
    <t>CHOZAS DE ABAJO</t>
  </si>
  <si>
    <t>001400700TN70D0001RL</t>
  </si>
  <si>
    <t>30, X: 278702.55, Y: 4703434.91</t>
  </si>
  <si>
    <t>669048150</t>
  </si>
  <si>
    <t>luisagonzsamart@gmail.com</t>
  </si>
  <si>
    <t>24/10/2025</t>
  </si>
  <si>
    <t>GARCIA VAZQUEZ MARGARITA ELENA</t>
  </si>
  <si>
    <t>10407920Y</t>
  </si>
  <si>
    <t>CS PLANAL 31 SIERO 33936</t>
  </si>
  <si>
    <t>SIERO</t>
  </si>
  <si>
    <t>asturias</t>
  </si>
  <si>
    <t>C21503100TP80D0001YG</t>
  </si>
  <si>
    <t>30, X: 285718.22, Y: 4802074.67</t>
  </si>
  <si>
    <t>670915809</t>
  </si>
  <si>
    <t>MANTA VOLCALIS EASY (28cm)</t>
  </si>
  <si>
    <t>AMEZ CHAMORRO CRISTINA</t>
  </si>
  <si>
    <t>32890371A</t>
  </si>
  <si>
    <t>CL SANTIAGO 9 VILLAMANDOS (VILLAMANDOS) 24238</t>
  </si>
  <si>
    <t>VILLAMANDOS</t>
  </si>
  <si>
    <t>VILLAMANDOS (VILLAMANDOS)</t>
  </si>
  <si>
    <t>6131423TM8763S0001TR</t>
  </si>
  <si>
    <t>30, X: 286018.52, Y: 4672849.48</t>
  </si>
  <si>
    <t>669306416</t>
  </si>
  <si>
    <t>GONZALEZ MARCOS MICAELA</t>
  </si>
  <si>
    <t>07798248Y</t>
  </si>
  <si>
    <t>CL PONIENTE 5 MACHACON 37180</t>
  </si>
  <si>
    <t>MACHACON</t>
  </si>
  <si>
    <t>7537002TL8373N0001EA</t>
  </si>
  <si>
    <t>30, X: 287373.29, Y: 4533503.64</t>
  </si>
  <si>
    <t>691025016</t>
  </si>
  <si>
    <t>Ruiz Hernandez Elena</t>
  </si>
  <si>
    <t>71114072G</t>
  </si>
  <si>
    <t>Calle Fuente 1 GERIA (Valladolid) 47131</t>
  </si>
  <si>
    <t>GERIA (VALLADOLID)</t>
  </si>
  <si>
    <t>GERIA (Valladolid)</t>
  </si>
  <si>
    <t>3749505UM4034N0001RM</t>
  </si>
  <si>
    <t>30, X: 343686.81, Y: 4604756.59</t>
  </si>
  <si>
    <t>627627671</t>
  </si>
  <si>
    <t>Elena@gmail.com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</si>
</sst>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pane ySplit="1" topLeftCell="J11" activePane="bottomLeft" state="frozen"/>
      <selection pane="bottomLeft" activeCell="Z20" sqref="Z20"/>
    </sheetView>
  </sheetViews>
  <sheetFormatPr defaultRowHeight="15"/>
  <cols>
    <col min="1" max="1" width="5.7109375" customWidth="1"/>
    <col min="2" max="2" width="25.7109375" customWidth="1"/>
    <col min="3" max="3" width="18.7109375" customWidth="1"/>
    <col min="4" max="4" width="15.7109375" customWidth="1"/>
    <col min="5" max="5" width="35.7109375" customWidth="1"/>
    <col min="6" max="7" width="15.7109375" customWidth="1"/>
    <col min="8" max="8" width="20.7109375" customWidth="1"/>
    <col min="9" max="9" width="12.7109375" customWidth="1"/>
    <col min="10" max="10" width="20.7109375" customWidth="1"/>
    <col min="11" max="25" width="12.7109375" customWidth="1"/>
    <col min="26" max="26" width="11.85546875" bestFit="1" customWidth="1"/>
    <col min="27" max="27" width="12.7109375" customWidth="1"/>
  </cols>
  <sheetData>
    <row r="1" spans="1:27" ht="24.95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5.75">
      <c r="A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3">
        <v>74</v>
      </c>
      <c r="O2" s="3">
        <v>50</v>
      </c>
      <c r="P2" s="2" t="s">
        <v>38</v>
      </c>
      <c r="Q2" s="2" t="s">
        <v>38</v>
      </c>
      <c r="R2" s="3">
        <v>30</v>
      </c>
      <c r="S2" s="2" t="s">
        <v>39</v>
      </c>
      <c r="T2" s="3">
        <v>2.75</v>
      </c>
      <c r="U2" s="3">
        <v>0.11</v>
      </c>
      <c r="V2" s="3">
        <v>0.7</v>
      </c>
      <c r="W2" s="2" t="s">
        <v>40</v>
      </c>
      <c r="X2" s="2" t="s">
        <v>41</v>
      </c>
      <c r="Y2" s="2">
        <v>39.5</v>
      </c>
      <c r="Z2" s="3">
        <v>9768</v>
      </c>
      <c r="AA2" s="3">
        <v>1318.68</v>
      </c>
    </row>
    <row r="3" spans="1:27" ht="45.75">
      <c r="A3">
        <v>2</v>
      </c>
      <c r="B3" s="2" t="s">
        <v>42</v>
      </c>
      <c r="C3" s="2" t="s">
        <v>28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32</v>
      </c>
      <c r="I3" s="2" t="s">
        <v>33</v>
      </c>
      <c r="J3" s="2" t="s">
        <v>47</v>
      </c>
      <c r="K3" s="2" t="s">
        <v>48</v>
      </c>
      <c r="L3" s="2" t="s">
        <v>49</v>
      </c>
      <c r="M3" s="2" t="s">
        <v>50</v>
      </c>
      <c r="N3" s="3">
        <v>74</v>
      </c>
      <c r="O3" s="3">
        <v>101</v>
      </c>
      <c r="P3" s="2" t="s">
        <v>51</v>
      </c>
      <c r="Q3" s="2" t="s">
        <v>51</v>
      </c>
      <c r="R3" s="3">
        <v>30</v>
      </c>
      <c r="S3" s="2" t="s">
        <v>39</v>
      </c>
      <c r="T3" s="3">
        <v>3.26</v>
      </c>
      <c r="U3" s="3">
        <v>0.2</v>
      </c>
      <c r="V3" s="3">
        <v>0.7</v>
      </c>
      <c r="W3" s="2" t="s">
        <v>40</v>
      </c>
      <c r="X3" s="2" t="s">
        <v>52</v>
      </c>
      <c r="Y3" s="2">
        <v>22</v>
      </c>
      <c r="Z3" s="3">
        <v>22870</v>
      </c>
      <c r="AA3" s="3">
        <v>3087.45</v>
      </c>
    </row>
    <row r="4" spans="1:27" ht="45.75">
      <c r="A4">
        <v>3</v>
      </c>
      <c r="B4" s="2" t="s">
        <v>53</v>
      </c>
      <c r="C4" s="2" t="s">
        <v>28</v>
      </c>
      <c r="D4" s="2" t="s">
        <v>54</v>
      </c>
      <c r="E4" s="2" t="s">
        <v>55</v>
      </c>
      <c r="F4" s="2" t="s">
        <v>56</v>
      </c>
      <c r="G4" s="2" t="s">
        <v>56</v>
      </c>
      <c r="H4" s="2" t="s">
        <v>32</v>
      </c>
      <c r="I4" s="2" t="s">
        <v>33</v>
      </c>
      <c r="J4" s="2" t="s">
        <v>57</v>
      </c>
      <c r="K4" s="2" t="s">
        <v>58</v>
      </c>
      <c r="L4" s="2" t="s">
        <v>59</v>
      </c>
      <c r="M4" s="2" t="s">
        <v>60</v>
      </c>
      <c r="N4" s="3">
        <v>74</v>
      </c>
      <c r="O4" s="3">
        <v>156</v>
      </c>
      <c r="P4" s="2" t="s">
        <v>51</v>
      </c>
      <c r="Q4" s="2" t="s">
        <v>51</v>
      </c>
      <c r="R4" s="3">
        <v>30</v>
      </c>
      <c r="S4" s="2" t="s">
        <v>39</v>
      </c>
      <c r="T4" s="3">
        <v>3.04</v>
      </c>
      <c r="U4" s="3">
        <v>0.11</v>
      </c>
      <c r="V4" s="3">
        <v>0.7</v>
      </c>
      <c r="W4" s="2" t="s">
        <v>61</v>
      </c>
      <c r="X4" s="2" t="s">
        <v>62</v>
      </c>
      <c r="Y4" s="2">
        <v>39</v>
      </c>
      <c r="Z4" s="3">
        <v>33824</v>
      </c>
      <c r="AA4" s="3">
        <v>4566.2400000000007</v>
      </c>
    </row>
    <row r="5" spans="1:27" ht="60.75">
      <c r="A5">
        <v>4</v>
      </c>
      <c r="B5" s="2" t="s">
        <v>63</v>
      </c>
      <c r="C5" s="2" t="s">
        <v>28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32</v>
      </c>
      <c r="I5" s="2" t="s">
        <v>33</v>
      </c>
      <c r="J5" s="2" t="s">
        <v>68</v>
      </c>
      <c r="K5" s="2" t="s">
        <v>69</v>
      </c>
      <c r="L5" s="2" t="s">
        <v>70</v>
      </c>
      <c r="M5" s="2" t="s">
        <v>71</v>
      </c>
      <c r="N5" s="3">
        <v>74</v>
      </c>
      <c r="O5" s="3">
        <v>85</v>
      </c>
      <c r="P5" s="2" t="s">
        <v>72</v>
      </c>
      <c r="Q5" s="2" t="s">
        <v>72</v>
      </c>
      <c r="R5" s="3">
        <v>30</v>
      </c>
      <c r="S5" s="2" t="s">
        <v>39</v>
      </c>
      <c r="T5" s="3">
        <v>3.61</v>
      </c>
      <c r="U5" s="3">
        <v>0.21</v>
      </c>
      <c r="V5" s="3">
        <v>0.7</v>
      </c>
      <c r="W5" s="2" t="s">
        <v>61</v>
      </c>
      <c r="X5" s="2" t="s">
        <v>73</v>
      </c>
      <c r="Y5" s="2">
        <v>22</v>
      </c>
      <c r="Z5" s="3">
        <v>21386</v>
      </c>
      <c r="AA5" s="3">
        <v>2887.11</v>
      </c>
    </row>
    <row r="6" spans="1:27" ht="45.75">
      <c r="A6">
        <v>5</v>
      </c>
      <c r="B6" s="2" t="s">
        <v>74</v>
      </c>
      <c r="C6" s="2" t="s">
        <v>28</v>
      </c>
      <c r="D6" s="2" t="s">
        <v>75</v>
      </c>
      <c r="E6" s="2" t="s">
        <v>76</v>
      </c>
      <c r="F6" s="2" t="s">
        <v>77</v>
      </c>
      <c r="G6" s="2" t="s">
        <v>77</v>
      </c>
      <c r="H6" s="2" t="s">
        <v>32</v>
      </c>
      <c r="I6" s="2" t="s">
        <v>33</v>
      </c>
      <c r="J6" s="2" t="s">
        <v>78</v>
      </c>
      <c r="K6" s="2" t="s">
        <v>79</v>
      </c>
      <c r="L6" s="2" t="s">
        <v>80</v>
      </c>
      <c r="M6" s="2" t="s">
        <v>81</v>
      </c>
      <c r="N6" s="3">
        <v>74</v>
      </c>
      <c r="O6" s="3">
        <v>138</v>
      </c>
      <c r="P6" s="2" t="s">
        <v>51</v>
      </c>
      <c r="Q6" s="2" t="s">
        <v>51</v>
      </c>
      <c r="R6" s="3">
        <v>30</v>
      </c>
      <c r="S6" s="2" t="s">
        <v>39</v>
      </c>
      <c r="T6" s="3">
        <v>2.75</v>
      </c>
      <c r="U6" s="3">
        <v>0.2</v>
      </c>
      <c r="V6" s="3">
        <v>0.7</v>
      </c>
      <c r="W6" s="2" t="s">
        <v>40</v>
      </c>
      <c r="X6" s="2" t="s">
        <v>73</v>
      </c>
      <c r="Y6" s="2">
        <v>22</v>
      </c>
      <c r="Z6" s="3">
        <v>26041</v>
      </c>
      <c r="AA6" s="3">
        <v>3515.5349999999999</v>
      </c>
    </row>
    <row r="7" spans="1:27" ht="45.75">
      <c r="A7">
        <v>6</v>
      </c>
      <c r="B7" s="2" t="s">
        <v>82</v>
      </c>
      <c r="C7" s="2" t="s">
        <v>28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32</v>
      </c>
      <c r="I7" s="2" t="s">
        <v>33</v>
      </c>
      <c r="J7" s="2" t="s">
        <v>87</v>
      </c>
      <c r="K7" s="2" t="s">
        <v>88</v>
      </c>
      <c r="L7" s="2" t="s">
        <v>89</v>
      </c>
      <c r="M7" s="2"/>
      <c r="N7" s="3">
        <v>74</v>
      </c>
      <c r="O7" s="3">
        <v>122</v>
      </c>
      <c r="P7" s="2" t="s">
        <v>72</v>
      </c>
      <c r="Q7" s="2" t="s">
        <v>72</v>
      </c>
      <c r="R7" s="3">
        <v>30</v>
      </c>
      <c r="S7" s="2" t="s">
        <v>39</v>
      </c>
      <c r="T7" s="3">
        <v>2.75</v>
      </c>
      <c r="U7" s="3">
        <v>0.2</v>
      </c>
      <c r="V7" s="3">
        <v>0.7</v>
      </c>
      <c r="W7" s="2" t="s">
        <v>40</v>
      </c>
      <c r="X7" s="2" t="s">
        <v>73</v>
      </c>
      <c r="Y7" s="2">
        <v>22</v>
      </c>
      <c r="Z7" s="3">
        <v>23021</v>
      </c>
      <c r="AA7" s="3">
        <v>3107.835</v>
      </c>
    </row>
    <row r="8" spans="1:27" ht="45.75">
      <c r="A8">
        <v>7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32</v>
      </c>
      <c r="I8" s="2" t="s">
        <v>33</v>
      </c>
      <c r="J8" s="2" t="s">
        <v>96</v>
      </c>
      <c r="K8" s="2" t="s">
        <v>97</v>
      </c>
      <c r="L8" s="2" t="s">
        <v>98</v>
      </c>
      <c r="M8" s="2"/>
      <c r="N8" s="3">
        <v>60</v>
      </c>
      <c r="O8" s="3">
        <v>102</v>
      </c>
      <c r="P8" s="2" t="s">
        <v>51</v>
      </c>
      <c r="Q8" s="2" t="s">
        <v>51</v>
      </c>
      <c r="R8" s="3">
        <v>30</v>
      </c>
      <c r="S8" s="2" t="s">
        <v>39</v>
      </c>
      <c r="T8" s="3">
        <v>2.75</v>
      </c>
      <c r="U8" s="3">
        <v>0.2</v>
      </c>
      <c r="V8" s="3">
        <v>0.7</v>
      </c>
      <c r="W8" s="2" t="s">
        <v>40</v>
      </c>
      <c r="X8" s="2" t="s">
        <v>73</v>
      </c>
      <c r="Y8" s="2">
        <v>22</v>
      </c>
      <c r="Z8" s="3">
        <v>15606</v>
      </c>
      <c r="AA8" s="3">
        <v>2106.81</v>
      </c>
    </row>
    <row r="9" spans="1:27" ht="45.75">
      <c r="A9">
        <v>8</v>
      </c>
      <c r="B9" s="2" t="s">
        <v>99</v>
      </c>
      <c r="C9" s="2" t="s">
        <v>91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32</v>
      </c>
      <c r="I9" s="2" t="s">
        <v>33</v>
      </c>
      <c r="J9" s="2" t="s">
        <v>104</v>
      </c>
      <c r="K9" s="2" t="s">
        <v>105</v>
      </c>
      <c r="L9" s="2" t="s">
        <v>106</v>
      </c>
      <c r="M9" s="2" t="s">
        <v>107</v>
      </c>
      <c r="N9" s="3">
        <v>74</v>
      </c>
      <c r="O9" s="3">
        <v>74</v>
      </c>
      <c r="P9" s="2" t="s">
        <v>51</v>
      </c>
      <c r="Q9" s="2" t="s">
        <v>51</v>
      </c>
      <c r="R9" s="3">
        <v>30</v>
      </c>
      <c r="S9" s="2" t="s">
        <v>39</v>
      </c>
      <c r="T9" s="3">
        <v>3.26</v>
      </c>
      <c r="U9" s="3">
        <v>0.2</v>
      </c>
      <c r="V9" s="3">
        <v>0.7</v>
      </c>
      <c r="W9" s="2" t="s">
        <v>40</v>
      </c>
      <c r="X9" s="2" t="s">
        <v>73</v>
      </c>
      <c r="Y9" s="2">
        <v>22</v>
      </c>
      <c r="Z9" s="3">
        <v>16757</v>
      </c>
      <c r="AA9" s="3">
        <v>2262.1950000000002</v>
      </c>
    </row>
    <row r="10" spans="1:27" ht="45.75">
      <c r="A10">
        <v>9</v>
      </c>
      <c r="B10" s="2" t="s">
        <v>108</v>
      </c>
      <c r="C10" s="2" t="s">
        <v>91</v>
      </c>
      <c r="D10" s="2" t="s">
        <v>109</v>
      </c>
      <c r="E10" s="2" t="s">
        <v>110</v>
      </c>
      <c r="F10" s="2" t="s">
        <v>111</v>
      </c>
      <c r="G10" s="2" t="s">
        <v>111</v>
      </c>
      <c r="H10" s="2" t="s">
        <v>32</v>
      </c>
      <c r="I10" s="2" t="s">
        <v>33</v>
      </c>
      <c r="J10" s="2" t="s">
        <v>112</v>
      </c>
      <c r="K10" s="2" t="s">
        <v>113</v>
      </c>
      <c r="L10" s="2" t="s">
        <v>114</v>
      </c>
      <c r="M10" s="2"/>
      <c r="N10" s="3">
        <v>60</v>
      </c>
      <c r="O10" s="3">
        <v>113</v>
      </c>
      <c r="P10" s="2" t="s">
        <v>115</v>
      </c>
      <c r="Q10" s="2" t="s">
        <v>115</v>
      </c>
      <c r="R10" s="3">
        <v>30</v>
      </c>
      <c r="S10" s="2" t="s">
        <v>39</v>
      </c>
      <c r="T10" s="3">
        <v>3.26</v>
      </c>
      <c r="U10" s="3">
        <v>0.2</v>
      </c>
      <c r="V10" s="3">
        <v>0.7</v>
      </c>
      <c r="W10" s="2" t="s">
        <v>40</v>
      </c>
      <c r="X10" s="2" t="s">
        <v>73</v>
      </c>
      <c r="Y10" s="2">
        <v>22</v>
      </c>
      <c r="Z10" s="3">
        <v>20747</v>
      </c>
      <c r="AA10" s="3">
        <v>2800.8449999999998</v>
      </c>
    </row>
    <row r="11" spans="1:27" ht="60.75">
      <c r="A11">
        <v>10</v>
      </c>
      <c r="B11" s="2" t="s">
        <v>116</v>
      </c>
      <c r="C11" s="2" t="s">
        <v>28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32</v>
      </c>
      <c r="I11" s="2" t="s">
        <v>121</v>
      </c>
      <c r="J11" s="2" t="s">
        <v>122</v>
      </c>
      <c r="K11" s="2" t="s">
        <v>123</v>
      </c>
      <c r="L11" s="2" t="s">
        <v>124</v>
      </c>
      <c r="M11" s="2" t="s">
        <v>125</v>
      </c>
      <c r="N11" s="3">
        <v>74</v>
      </c>
      <c r="O11" s="3">
        <v>134</v>
      </c>
      <c r="P11" s="2" t="s">
        <v>126</v>
      </c>
      <c r="Q11" s="2" t="s">
        <v>126</v>
      </c>
      <c r="R11" s="3">
        <v>30</v>
      </c>
      <c r="S11" s="2" t="s">
        <v>39</v>
      </c>
      <c r="T11" s="3">
        <v>3.61</v>
      </c>
      <c r="U11" s="3">
        <v>0.12</v>
      </c>
      <c r="V11" s="3">
        <v>0.7</v>
      </c>
      <c r="W11" s="2" t="s">
        <v>61</v>
      </c>
      <c r="X11" s="2" t="s">
        <v>127</v>
      </c>
      <c r="Y11" s="2">
        <v>38</v>
      </c>
      <c r="Z11" s="3">
        <v>34607</v>
      </c>
      <c r="AA11" s="3">
        <v>4671.9450000000006</v>
      </c>
    </row>
    <row r="12" spans="1:27" ht="45.75">
      <c r="A12">
        <v>11</v>
      </c>
      <c r="B12" s="2" t="s">
        <v>128</v>
      </c>
      <c r="C12" s="2" t="s">
        <v>28</v>
      </c>
      <c r="D12" s="2" t="s">
        <v>129</v>
      </c>
      <c r="E12" s="2" t="s">
        <v>130</v>
      </c>
      <c r="F12" s="2" t="s">
        <v>131</v>
      </c>
      <c r="G12" s="2" t="s">
        <v>132</v>
      </c>
      <c r="H12" s="2" t="s">
        <v>32</v>
      </c>
      <c r="I12" s="2" t="s">
        <v>121</v>
      </c>
      <c r="J12" s="2" t="s">
        <v>133</v>
      </c>
      <c r="K12" s="2" t="s">
        <v>134</v>
      </c>
      <c r="L12" s="2" t="s">
        <v>135</v>
      </c>
      <c r="M12" s="2" t="s">
        <v>136</v>
      </c>
      <c r="N12" s="3">
        <v>74</v>
      </c>
      <c r="O12" s="3">
        <v>141</v>
      </c>
      <c r="P12" s="2" t="s">
        <v>137</v>
      </c>
      <c r="Q12" s="2" t="s">
        <v>137</v>
      </c>
      <c r="R12" s="3">
        <v>30</v>
      </c>
      <c r="S12" s="2" t="s">
        <v>39</v>
      </c>
      <c r="T12" s="3">
        <v>3.26</v>
      </c>
      <c r="U12" s="3">
        <v>0.2</v>
      </c>
      <c r="V12" s="3">
        <v>0.7</v>
      </c>
      <c r="W12" s="2" t="s">
        <v>40</v>
      </c>
      <c r="X12" s="2" t="s">
        <v>73</v>
      </c>
      <c r="Y12" s="2">
        <v>22</v>
      </c>
      <c r="Z12" s="3">
        <v>31928</v>
      </c>
      <c r="AA12" s="3">
        <v>4310.2800000000007</v>
      </c>
    </row>
    <row r="13" spans="1:27" ht="45.75">
      <c r="A13">
        <v>12</v>
      </c>
      <c r="B13" s="2" t="s">
        <v>138</v>
      </c>
      <c r="C13" s="2" t="s">
        <v>28</v>
      </c>
      <c r="D13" s="2" t="s">
        <v>139</v>
      </c>
      <c r="E13" s="2" t="s">
        <v>140</v>
      </c>
      <c r="F13" s="2" t="s">
        <v>141</v>
      </c>
      <c r="G13" s="2" t="s">
        <v>141</v>
      </c>
      <c r="H13" s="2" t="s">
        <v>142</v>
      </c>
      <c r="I13" s="2" t="s">
        <v>121</v>
      </c>
      <c r="J13" s="2" t="s">
        <v>143</v>
      </c>
      <c r="K13" s="2" t="s">
        <v>144</v>
      </c>
      <c r="L13" s="2" t="s">
        <v>145</v>
      </c>
      <c r="M13" s="2"/>
      <c r="N13" s="3">
        <v>44</v>
      </c>
      <c r="O13" s="3">
        <v>114</v>
      </c>
      <c r="P13" s="2" t="s">
        <v>137</v>
      </c>
      <c r="Q13" s="2" t="s">
        <v>137</v>
      </c>
      <c r="R13" s="3">
        <v>30</v>
      </c>
      <c r="S13" s="2" t="s">
        <v>39</v>
      </c>
      <c r="T13" s="3">
        <v>2.75</v>
      </c>
      <c r="U13" s="3">
        <v>0.13</v>
      </c>
      <c r="V13" s="3">
        <v>0.7</v>
      </c>
      <c r="W13" s="2" t="s">
        <v>40</v>
      </c>
      <c r="X13" s="2" t="s">
        <v>146</v>
      </c>
      <c r="Y13" s="2">
        <v>28</v>
      </c>
      <c r="Z13" s="3">
        <v>13142</v>
      </c>
      <c r="AA13" s="3">
        <v>1774.17</v>
      </c>
    </row>
    <row r="14" spans="1:27" ht="45.75">
      <c r="A14">
        <v>13</v>
      </c>
      <c r="B14" s="2" t="s">
        <v>147</v>
      </c>
      <c r="C14" s="2" t="s">
        <v>28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32</v>
      </c>
      <c r="I14" s="2" t="s">
        <v>121</v>
      </c>
      <c r="J14" s="2" t="s">
        <v>152</v>
      </c>
      <c r="K14" s="2" t="s">
        <v>153</v>
      </c>
      <c r="L14" s="2" t="s">
        <v>154</v>
      </c>
      <c r="M14" s="2"/>
      <c r="N14" s="3">
        <v>74</v>
      </c>
      <c r="O14" s="3">
        <v>158</v>
      </c>
      <c r="P14" s="2" t="s">
        <v>137</v>
      </c>
      <c r="Q14" s="2" t="s">
        <v>137</v>
      </c>
      <c r="R14" s="3">
        <v>30</v>
      </c>
      <c r="S14" s="2" t="s">
        <v>39</v>
      </c>
      <c r="T14" s="3">
        <v>3.04</v>
      </c>
      <c r="U14" s="3">
        <v>0.21</v>
      </c>
      <c r="V14" s="3">
        <v>0.7</v>
      </c>
      <c r="W14" s="2" t="s">
        <v>61</v>
      </c>
      <c r="X14" s="2" t="s">
        <v>73</v>
      </c>
      <c r="Y14" s="2">
        <v>22</v>
      </c>
      <c r="Z14" s="3">
        <v>33088</v>
      </c>
      <c r="AA14" s="3">
        <v>4466.88</v>
      </c>
    </row>
    <row r="15" spans="1:27" ht="45.75">
      <c r="A15">
        <v>14</v>
      </c>
      <c r="B15" s="2" t="s">
        <v>155</v>
      </c>
      <c r="C15" s="2" t="s">
        <v>91</v>
      </c>
      <c r="D15" s="2" t="s">
        <v>156</v>
      </c>
      <c r="E15" s="2" t="s">
        <v>157</v>
      </c>
      <c r="F15" s="2" t="s">
        <v>158</v>
      </c>
      <c r="G15" s="2" t="s">
        <v>158</v>
      </c>
      <c r="H15" s="2" t="s">
        <v>32</v>
      </c>
      <c r="I15" s="2" t="s">
        <v>121</v>
      </c>
      <c r="J15" s="2" t="s">
        <v>159</v>
      </c>
      <c r="K15" s="2" t="s">
        <v>160</v>
      </c>
      <c r="L15" s="2" t="s">
        <v>161</v>
      </c>
      <c r="M15" s="2"/>
      <c r="N15" s="3">
        <v>60</v>
      </c>
      <c r="O15" s="3">
        <v>107</v>
      </c>
      <c r="P15" s="2" t="s">
        <v>115</v>
      </c>
      <c r="Q15" s="2" t="s">
        <v>115</v>
      </c>
      <c r="R15" s="3">
        <v>30</v>
      </c>
      <c r="S15" s="2" t="s">
        <v>39</v>
      </c>
      <c r="T15" s="3">
        <v>2.75</v>
      </c>
      <c r="U15" s="3">
        <v>0.12</v>
      </c>
      <c r="V15" s="3">
        <v>0.7</v>
      </c>
      <c r="W15" s="2" t="s">
        <v>40</v>
      </c>
      <c r="X15" s="2" t="s">
        <v>127</v>
      </c>
      <c r="Y15" s="2">
        <v>38</v>
      </c>
      <c r="Z15" s="3">
        <v>16885</v>
      </c>
      <c r="AA15" s="3">
        <v>2279.4749999999999</v>
      </c>
    </row>
    <row r="16" spans="1:27" ht="45.75">
      <c r="A16">
        <v>15</v>
      </c>
      <c r="B16" s="2" t="s">
        <v>162</v>
      </c>
      <c r="C16" s="2" t="s">
        <v>91</v>
      </c>
      <c r="D16" s="2" t="s">
        <v>163</v>
      </c>
      <c r="E16" s="2" t="s">
        <v>164</v>
      </c>
      <c r="F16" s="2" t="s">
        <v>165</v>
      </c>
      <c r="G16" s="2" t="s">
        <v>166</v>
      </c>
      <c r="H16" s="2" t="s">
        <v>32</v>
      </c>
      <c r="I16" s="2" t="s">
        <v>121</v>
      </c>
      <c r="J16" s="2" t="s">
        <v>167</v>
      </c>
      <c r="K16" s="2" t="s">
        <v>168</v>
      </c>
      <c r="L16" s="2" t="s">
        <v>169</v>
      </c>
      <c r="M16" s="2" t="s">
        <v>170</v>
      </c>
      <c r="N16" s="3">
        <v>60</v>
      </c>
      <c r="O16" s="3">
        <v>119</v>
      </c>
      <c r="P16" s="2" t="s">
        <v>51</v>
      </c>
      <c r="Q16" s="2" t="s">
        <v>51</v>
      </c>
      <c r="R16" s="3">
        <v>30</v>
      </c>
      <c r="S16" s="2" t="s">
        <v>39</v>
      </c>
      <c r="T16" s="3">
        <v>3.61</v>
      </c>
      <c r="U16" s="3">
        <v>0.21</v>
      </c>
      <c r="V16" s="3">
        <v>0.7</v>
      </c>
      <c r="W16" s="2" t="s">
        <v>61</v>
      </c>
      <c r="X16" s="2" t="s">
        <v>73</v>
      </c>
      <c r="Y16" s="2">
        <v>22</v>
      </c>
      <c r="Z16" s="3">
        <v>24276</v>
      </c>
      <c r="AA16" s="3">
        <v>3277.26</v>
      </c>
    </row>
    <row r="18" spans="26:26">
      <c r="Z18" s="4">
        <f>SUM(Z2:Z17)</f>
        <v>343946</v>
      </c>
    </row>
    <row r="19" spans="26:26">
      <c r="Z19">
        <f>Z18/15</f>
        <v>22929.733333333334</v>
      </c>
    </row>
  </sheetData>
  <autoFilter ref="B1:AA7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6C7F0A8050749A243C3F909D73E41" ma:contentTypeVersion="11" ma:contentTypeDescription="Create a new document." ma:contentTypeScope="" ma:versionID="9d5581e6e7db367144fef366714a94b3">
  <xsd:schema xmlns:xsd="http://www.w3.org/2001/XMLSchema" xmlns:xs="http://www.w3.org/2001/XMLSchema" xmlns:p="http://schemas.microsoft.com/office/2006/metadata/properties" xmlns:ns2="8b2625f9-2a8d-4303-9e7b-4bc30a766e6b" xmlns:ns3="cd08c18b-a5e8-410a-97b1-4dbf5b0bf4d2" targetNamespace="http://schemas.microsoft.com/office/2006/metadata/properties" ma:root="true" ma:fieldsID="bebb8271f75c02714acd1c6e47152f0e" ns2:_="" ns3:_="">
    <xsd:import namespace="8b2625f9-2a8d-4303-9e7b-4bc30a766e6b"/>
    <xsd:import namespace="cd08c18b-a5e8-410a-97b1-4dbf5b0bf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25f9-2a8d-4303-9e7b-4bc30a76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53d11-d4d2-4525-8087-65ae3fbfa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c18b-a5e8-410a-97b1-4dbf5b0bf4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77858c-ea0f-4c29-a6e2-c581cf1628e3}" ma:internalName="TaxCatchAll" ma:showField="CatchAllData" ma:web="cd08c18b-a5e8-410a-97b1-4dbf5b0bf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2625f9-2a8d-4303-9e7b-4bc30a766e6b">
      <Terms xmlns="http://schemas.microsoft.com/office/infopath/2007/PartnerControls"/>
    </lcf76f155ced4ddcb4097134ff3c332f>
    <TaxCatchAll xmlns="cd08c18b-a5e8-410a-97b1-4dbf5b0bf4d2" xsi:nil="true"/>
  </documentManagement>
</p:properties>
</file>

<file path=customXml/itemProps1.xml><?xml version="1.0" encoding="utf-8"?>
<ds:datastoreItem xmlns:ds="http://schemas.openxmlformats.org/officeDocument/2006/customXml" ds:itemID="{B7D065EA-D4EE-44A5-862F-8E33AD414C26}"/>
</file>

<file path=customXml/itemProps2.xml><?xml version="1.0" encoding="utf-8"?>
<ds:datastoreItem xmlns:ds="http://schemas.openxmlformats.org/officeDocument/2006/customXml" ds:itemID="{F3744A7C-4FDB-49BC-A16A-4F5767DBDEBF}"/>
</file>

<file path=customXml/itemProps3.xml><?xml version="1.0" encoding="utf-8"?>
<ds:datastoreItem xmlns:ds="http://schemas.openxmlformats.org/officeDocument/2006/customXml" ds:itemID="{6EEA018A-8D8B-4C37-BB9C-764C1C5B5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2025-10-28T18:01:57Z</dcterms:created>
  <dcterms:modified xsi:type="dcterms:W3CDTF">2025-11-03T21:15:37Z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0x010100AA26C7F0A8050749A243C3F909D73E41</vt:lpwstr>
  </property>
  <property fmtid="{D5CDD505-2E9C-101B-9397-08002B2CF9AE}" pid="3" name="MediaServiceImageTags">
    <vt:lpwstr/>
  </property>
</Properties>
</file>